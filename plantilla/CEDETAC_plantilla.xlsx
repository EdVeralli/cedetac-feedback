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dicadores generales" sheetId="1" state="visible" r:id="rId1"/>
    <sheet xmlns:r="http://schemas.openxmlformats.org/officeDocument/2006/relationships" name="Feedback CEDETAC" sheetId="2" state="visible" r:id="rId2"/>
  </sheets>
  <definedNames>
    <definedName name="_xlnm._FilterDatabase" localSheetId="1" hidden="1">'Feedback CEDETAC'!$A$1:$E$1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charset val="1"/>
      <color theme="1"/>
      <sz val="10"/>
    </font>
    <font>
      <name val="Calibri"/>
      <family val="2"/>
      <i val="1"/>
      <color theme="1" tint="0.249977111117893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2" fillId="0" borderId="2" applyAlignment="1" pivotButton="0" quotePrefix="0" xfId="0">
      <alignment readingOrder="1"/>
    </xf>
    <xf numFmtId="0" fontId="2" fillId="0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2" fillId="0" borderId="5" applyAlignment="1" pivotButton="0" quotePrefix="0" xfId="0">
      <alignment readingOrder="1"/>
    </xf>
    <xf numFmtId="9" fontId="0" fillId="0" borderId="1" pivotButton="0" quotePrefix="0" xfId="0"/>
    <xf numFmtId="2" fontId="0" fillId="0" borderId="1" pivotButton="0" quotePrefix="0" xfId="0"/>
    <xf numFmtId="0" fontId="2" fillId="0" borderId="6" applyAlignment="1" pivotButton="0" quotePrefix="0" xfId="0">
      <alignment readingOrder="1"/>
    </xf>
    <xf numFmtId="14" fontId="2" fillId="0" borderId="6" applyAlignment="1" pivotButton="0" quotePrefix="0" xfId="0">
      <alignment readingOrder="1"/>
    </xf>
    <xf numFmtId="0" fontId="2" fillId="0" borderId="3" applyAlignment="1" pivotButton="0" quotePrefix="0" xfId="0">
      <alignment wrapText="1" readingOrder="1"/>
    </xf>
    <xf numFmtId="0" fontId="2" fillId="0" borderId="3" applyAlignment="1" pivotButton="0" quotePrefix="1" xfId="0">
      <alignment wrapText="1" readingOrder="1"/>
    </xf>
    <xf numFmtId="0" fontId="2" fillId="0" borderId="7" applyAlignment="1" pivotButton="0" quotePrefix="0" xfId="0">
      <alignment readingOrder="1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tc={1599FEAF-7E35-43BC-BEC4-068200101A0E}</author>
    <author>tc={7B828C6A-76FD-4242-A41E-FF3B5AFDE52D}</author>
    <author>tc={9C2A816F-B7B4-4CEF-9E23-11823FB9B343}</author>
    <author>tc={C12C5523-5609-4220-9C2B-110A19F2D435}</author>
  </authors>
  <commentList>
    <comment ref="B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¿Pudiste resolver tu consulta? </t>
      </text>
    </comment>
    <comment ref="C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Contame, ¿cómo te resultó llegar a la opción para hablar con alguien? </t>
      </text>
    </comment>
    <comment ref="D1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¿Qué tan conforme estás con la atención que recibiste? </t>
      </text>
    </comment>
    <comment ref="E1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 la última, ¿tenés alguna sugerencia para el equipo? ✍️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C5" sqref="C5"/>
    </sheetView>
  </sheetViews>
  <sheetFormatPr baseColWidth="8" defaultRowHeight="15"/>
  <cols>
    <col width="23" customWidth="1" min="1" max="1"/>
    <col width="19.7109375" customWidth="1" min="2" max="2"/>
    <col width="26.28515625" customWidth="1" min="3" max="3"/>
    <col width="16" customWidth="1" min="4" max="4"/>
  </cols>
  <sheetData>
    <row r="1">
      <c r="A1" s="17" t="inlineStr">
        <is>
          <t>Últimos 3 meses</t>
        </is>
      </c>
      <c r="B1" s="19" t="n"/>
    </row>
    <row r="3">
      <c r="A3" s="16" t="inlineStr">
        <is>
          <t>SEPTIEMBRE</t>
        </is>
      </c>
    </row>
    <row r="4">
      <c r="A4" s="2" t="inlineStr">
        <is>
          <t>Total_Usuarios</t>
        </is>
      </c>
      <c r="B4" s="2" t="inlineStr">
        <is>
          <t>TasaEfectividad</t>
        </is>
      </c>
      <c r="C4" s="2" t="inlineStr">
        <is>
          <t>Esfuerzo</t>
        </is>
      </c>
      <c r="D4" s="2" t="inlineStr">
        <is>
          <t>Satisfacción %</t>
        </is>
      </c>
    </row>
    <row r="5">
      <c r="A5" s="3">
        <f>COUNTA('Feedback CEDETAC'!A:A)</f>
        <v/>
      </c>
      <c r="B5" s="9">
        <f>(COUNTIF('Feedback CEDETAC'!B:B,"Sí"))/((COUNTA('Feedback CEDETAC'!B:B)))</f>
        <v/>
      </c>
      <c r="C5" s="10">
        <f>(COUNTIF('Feedback CEDETAC'!C:C, "Muy difícil")*5 + COUNTIF('Feedback CEDETAC'!C:C, "Difícil")*4 + COUNTIF('Feedback CEDETAC'!C:C, "Más o menos")*3 + COUNTIF('Feedback CEDETAC'!C:C, "Fácil")*2 + COUNTIF('Feedback CEDETAC'!C:C, "Muy fácil")*1) / COUNTA('Feedback CEDETAC'!C:C)</f>
        <v/>
      </c>
      <c r="D5" s="4">
        <f>(COUNTIF('Feedback CEDETAC'!D:D, "Muy conforme") + COUNTIF('Feedback CEDETAC'!D:D, "Conforme ")) / COUNTA('Feedback CEDETAC'!D:D)</f>
        <v/>
      </c>
    </row>
    <row r="7">
      <c r="A7" s="18" t="inlineStr">
        <is>
          <t>Los valores corresponden a usuarios que respondieron el feedback</t>
        </is>
      </c>
    </row>
  </sheetData>
  <mergeCells count="3">
    <mergeCell ref="A7:D7"/>
    <mergeCell ref="A3:B3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753" sqref="A1753"/>
    </sheetView>
  </sheetViews>
  <sheetFormatPr baseColWidth="8" defaultRowHeight="15"/>
  <cols>
    <col width="18.140625" customWidth="1" min="1" max="1"/>
    <col width="17.7109375" customWidth="1" min="2" max="2"/>
    <col width="19.140625" customWidth="1" min="3" max="3"/>
    <col width="20.5703125" customWidth="1" min="4" max="4"/>
    <col width="116.5703125" customWidth="1" min="5" max="5"/>
  </cols>
  <sheetData>
    <row r="1">
      <c r="A1" s="1" t="inlineStr">
        <is>
          <t>fecha</t>
        </is>
      </c>
      <c r="B1" s="1" t="inlineStr">
        <is>
          <t>Efectividad</t>
        </is>
      </c>
      <c r="C1" s="1" t="inlineStr">
        <is>
          <t>Esfuerzo</t>
        </is>
      </c>
      <c r="D1" s="1" t="inlineStr">
        <is>
          <t>Satisfaccion</t>
        </is>
      </c>
      <c r="E1" s="1" t="inlineStr">
        <is>
          <t>Sugerencia del usuario</t>
        </is>
      </c>
    </row>
    <row r="23" ht="24" customHeight="1"/>
    <row r="74" ht="24" customHeight="1"/>
    <row r="245" ht="24" customHeight="1"/>
    <row r="251" ht="24" customHeight="1"/>
    <row r="529" ht="36" customHeight="1"/>
    <row r="603" ht="24" customHeight="1"/>
    <row r="607" ht="24" customHeight="1"/>
    <row r="691" ht="24" customHeight="1"/>
    <row r="798" ht="24" customHeight="1"/>
    <row r="951" ht="24" customHeight="1"/>
    <row r="976" ht="36" customHeight="1"/>
    <row r="1059" ht="24" customHeight="1"/>
    <row r="1320" ht="36" customHeight="1"/>
    <row r="1562" ht="36" customHeight="1"/>
    <row r="1579" ht="24" customHeight="1"/>
    <row r="1581" ht="72" customHeight="1"/>
    <row r="1642" ht="24" customHeight="1"/>
    <row r="1721" ht="24" customHeight="1"/>
  </sheetData>
  <autoFilter ref="A1:E1">
    <sortState ref="A2:E1753">
      <sortCondition ref="A1"/>
    </sortState>
  </autoFilter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2026-09-30T19:18:31Z</dcterms:created>
  <dcterms:modified xmlns:dcterms="http://purl.org/dc/terms/" xmlns:xsi="http://www.w3.org/2001/XMLSchema-instance" xsi:type="dcterms:W3CDTF">2026-10-02T18:15:46Z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0x01010068D6EF20B000EC439DC8734A21E6E7B9</vt:lpwstr>
  </property>
  <property name="MediaServiceImageTags" fmtid="{D5CDD505-2E9C-101B-9397-08002B2CF9AE}" pid="3">
    <vt:lpwstr xmlns:vt="http://schemas.openxmlformats.org/officeDocument/2006/docPropsVTypes"/>
  </property>
</Properties>
</file>